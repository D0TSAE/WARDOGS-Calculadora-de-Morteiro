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68781f07b04f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culadora" sheetId="1" r:id="R6f5b2f01efbf4cf8"/>
    <x:sheet xmlns:r="http://schemas.openxmlformats.org/officeDocument/2006/relationships" name="Sobre" sheetId="2" r:id="R066e3f6e377846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&quot; m&quot;"/>
  </x:numFmts>
  <x:fonts count="21">
    <x:font>
      <x:sz val="11"/>
      <x:color theme="1"/>
      <x:name val="Calibri"/>
    </x:font>
    <x:font>
      <x:b/>
      <x:sz val="16"/>
      <x:color rgb="FFFFFFFF"/>
    </x:font>
    <x:font>
      <x:b/>
      <x:color rgb="FFFFFFFF"/>
    </x:font>
    <x:font>
      <x:b/>
      <x:sz val="13"/>
      <x:color rgb="FFFFFFFF"/>
    </x:font>
    <x:font>
      <x:b/>
      <x:sz val="12"/>
      <x:color rgb="FF6B7280"/>
    </x:font>
    <x:font>
      <x:b/>
      <x:sz val="24"/>
      <x:color rgb="FFB91C1C"/>
    </x:font>
    <x:font>
      <x:i/>
      <x:color rgb="FF6B7280"/>
    </x:font>
    <x:font>
      <x:sz val="10"/>
    </x:font>
    <x:font>
      <x:b/>
      <x:sz val="16"/>
    </x:font>
    <x:font>
      <x:b/>
    </x:font>
    <x:font>
      <x:b/>
      <x:sz val="13"/>
      <x:color rgb="FFFFFFFF"/>
      <x:name val="Calibri"/>
    </x:font>
    <x:font>
      <x:b/>
      <x:sz val="12"/>
      <x:color theme="1"/>
      <x:name val="Calibri"/>
    </x:font>
    <x:font>
      <x:b/>
      <x:sz val="24"/>
      <x:color rgb="FFB91C1C"/>
      <x:name val="Calibri"/>
    </x:font>
    <x:font>
      <x:i/>
      <x:sz val="10"/>
      <x:color rgb="FF6B7280"/>
      <x:name val="Calibri"/>
    </x:font>
    <x:font>
      <x:i/>
      <x:sz val="10"/>
      <x:color rgb="FF6B7280"/>
    </x:font>
    <x:font>
      <x:b/>
      <x:sz val="11"/>
      <x:color rgb="FFFFFFFF"/>
      <x:name val="Calibri"/>
    </x:font>
    <x:font>
      <x:b/>
      <x:sz val="11"/>
      <x:color theme="1"/>
      <x:name val="Calibri"/>
    </x:font>
    <x:font>
      <x:b/>
      <x:sz val="14"/>
    </x:font>
    <x:font>
      <x:b/>
      <x:sz val="10"/>
      <x:color rgb="FFFFFFFF"/>
    </x:font>
    <x:font>
      <x:b/>
      <x:sz val="20"/>
      <x:color rgb="FFB91C1C"/>
      <x:name val="Calibri"/>
    </x:font>
    <x:font>
      <x:b/>
      <x:sz val="22"/>
      <x:color rgb="FFB91C1C"/>
      <x:name val="Calibri"/>
    </x:font>
  </x:fonts>
  <x:fills count="1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B91C1C"/>
      </x:patternFill>
    </x:fill>
    <x:fill>
      <x:patternFill patternType="solid">
        <x:fgColor rgb="FFFEF2F2"/>
      </x:patternFill>
    </x:fill>
    <x:fill>
      <x:patternFill patternType="solid">
        <x:fgColor rgb="FF1F2937"/>
      </x:patternFill>
    </x:fill>
    <x:fill>
      <x:patternFill patternType="solid">
        <x:fgColor rgb="FFFEF2F2"/>
      </x:patternFill>
    </x:fill>
    <x:fill>
      <x:patternFill patternType="solid">
        <x:fgColor rgb="FFFFF7ED"/>
      </x:patternFill>
    </x:fill>
    <x:fill>
      <x:patternFill patternType="solid">
        <x:fgColor rgb="FFB91C1C"/>
      </x:patternFill>
    </x:fill>
    <x:fill>
      <x:patternFill patternType="solid">
        <x:fgColor rgb="FFF3F4F6"/>
      </x:patternFill>
    </x:fill>
    <x:fill>
      <x:patternFill patternType="solid">
        <x:fgColor rgb="FFB91C1C"/>
      </x:patternFill>
    </x:fill>
    <x:fill>
      <x:patternFill patternType="solid">
        <x:fgColor rgb="FF1F2937"/>
      </x:patternFill>
    </x:fill>
    <x:fill>
      <x:patternFill patternType="solid">
        <x:fgColor rgb="FFFFF7ED"/>
      </x:patternFill>
    </x:fill>
    <x:fill>
      <x:patternFill patternType="solid">
        <x:fgColor rgb="FFDCFCE7"/>
      </x:patternFill>
    </x:fill>
    <x:fill>
      <x:patternFill patternType="solid">
        <x:fgColor rgb="FFFEF2F2"/>
      </x:patternFill>
    </x:fill>
  </x:fills>
  <x:borders count="4">
    <x:border/>
    <x:border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/>
  </x:borders>
  <x:cellStyleXfs count="1">
    <x:xf numFmtId="0" fontId="0" fillId="0" borderId="0"/>
  </x:cellStyleXfs>
  <x:cellXfs count="168">
    <x:xf numFmtId="0" fontId="0" fillId="0" borderId="0" xfId="0"/>
    <x:xf numFmtId="0" fontId="1" fillId="2" borderId="0" xfId="0" applyAlignment="1">
      <x:alignment horizontal="center" vertical="center"/>
    </x:xf>
    <x:xf numFmtId="0" fontId="2" fillId="3" borderId="1" xfId="0" applyAlignment="1">
      <x:alignment horizontal="center"/>
    </x:xf>
    <x:xf numFmtId="0" fontId="0" fillId="0" borderId="1" xfId="0" applyAlignment="1">
      <x:alignment horizontal="center"/>
    </x:xf>
    <x:xf numFmtId="2" fontId="0" fillId="0" borderId="1" xfId="0" applyAlignment="1">
      <x:alignment horizontal="center"/>
    </x:xf>
    <x:xf numFmtId="0" fontId="3" fillId="2" borderId="0" xfId="0" applyAlignment="1">
      <x:alignment horizontal="center"/>
    </x:xf>
    <x:xf numFmtId="0" fontId="4" fillId="4" borderId="0" xfId="0" applyAlignment="1">
      <x:alignment horizontal="center" vertical="center"/>
    </x:xf>
    <x:xf numFmtId="2" fontId="5" fillId="4" borderId="2" xfId="0" applyAlignment="1">
      <x:alignment horizontal="center" vertical="center"/>
    </x:xf>
    <x:xf numFmtId="0" fontId="6" fillId="0" borderId="0" xfId="0"/>
    <x:xf numFmtId="0" fontId="2" fillId="2" borderId="0" xfId="0" applyAlignment="1">
      <x:alignment horizontal="center"/>
    </x:xf>
    <x:xf numFmtId="0" fontId="7" fillId="0" borderId="0" xfId="0" applyAlignment="1">
      <x:alignment horizontal="left"/>
    </x:xf>
    <x:xf numFmtId="0" fontId="8" fillId="0" borderId="0" xfId="0"/>
    <x:xf numFmtId="0" fontId="9" fillId="0" borderId="0" xfId="0"/>
    <x:xf numFmtId="0" fontId="0" fillId="0" borderId="3" xfId="0" applyNumberFormat="1" applyFont="1" applyFill="1" applyBorder="1"/>
    <x:xf numFmtId="0" fontId="1" fillId="2" borderId="3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" fontId="0" fillId="0" borderId="1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4" fillId="4" borderId="3" xfId="0" applyNumberFormat="1" applyFont="1" applyFill="1" applyBorder="1" applyAlignment="1">
      <x:alignment horizontal="center" vertical="center"/>
    </x:xf>
    <x:xf numFmtId="2" fontId="5" fillId="4" borderId="2" xfId="0" applyNumberFormat="1" applyFont="1" applyFill="1" applyBorder="1" applyAlignment="1">
      <x:alignment horizontal="center" vertical="center"/>
    </x:xf>
    <x:xf numFmtId="0" fontId="6" fillId="0" borderId="3" xfId="0" applyNumberFormat="1" applyFont="1" applyFill="1" applyBorder="1"/>
    <x:xf numFmtId="0" fontId="2" fillId="2" borderId="3" xfId="0" applyNumberFormat="1" applyFont="1" applyFill="1" applyBorder="1" applyAlignment="1">
      <x:alignment horizontal="center"/>
    </x:xf>
    <x:xf numFmtId="0" fontId="7" fillId="0" borderId="3" xfId="0" applyNumberFormat="1" applyFont="1" applyFill="1" applyBorder="1" applyAlignment="1">
      <x:alignment horizontal="left"/>
    </x:xf>
    <x:xf numFmtId="0" fontId="8" fillId="0" borderId="3" xfId="0" applyNumberFormat="1" applyFont="1" applyFill="1" applyBorder="1"/>
    <x:xf numFmtId="0" fontId="9" fillId="0" borderId="3" xfId="0" applyNumberFormat="1" applyFont="1" applyFill="1" applyBorder="1"/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2" fontId="5" fillId="5" borderId="2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10" fillId="5" borderId="0" xfId="0" applyNumberFormat="1" applyFont="1" applyFill="1" applyBorder="1"/>
    <x:xf numFmtId="2" fontId="3" fillId="5" borderId="2" xfId="0" applyNumberFormat="1" applyFont="1" applyFill="1" applyBorder="1" applyAlignment="1">
      <x:alignment horizontal="center" vertical="center"/>
    </x:xf>
    <x:xf numFmtId="0" fontId="10" fillId="5" borderId="0" xfId="0" applyNumberFormat="1" applyFont="1" applyFill="1" applyBorder="1" applyAlignment="1">
      <x:alignment horizontal="center"/>
    </x:xf>
    <x:xf numFmtId="0" fontId="10" fillId="5" borderId="0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0" fillId="5" borderId="3" xfId="0" applyNumberFormat="1" applyFont="1" applyFill="1" applyBorder="1"/>
    <x:xf numFmtId="0" fontId="3" fillId="5" borderId="3" xfId="0" applyNumberFormat="1" applyFont="1" applyFill="1" applyBorder="1" applyAlignment="1">
      <x:alignment horizontal="center" vertical="center"/>
    </x:xf>
    <x:xf numFmtId="0" fontId="10" fillId="5" borderId="3" xfId="0" applyNumberFormat="1" applyFont="1" applyFill="1" applyBorder="1"/>
    <x:xf numFmtId="0" fontId="10" fillId="5" borderId="3" xfId="0" applyNumberFormat="1" applyFont="1" applyFill="1" applyBorder="1" applyAlignment="1">
      <x:alignment horizontal="center"/>
    </x:xf>
    <x:xf numFmtId="0" fontId="10" fillId="5" borderId="3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horizontal="center"/>
    </x:xf>
    <x:xf numFmtId="0" fontId="11" fillId="6" borderId="0" xfId="0" applyNumberFormat="1" applyFont="1" applyFill="1" applyBorder="1" applyAlignment="1">
      <x:alignment horizontal="center" vertical="center"/>
    </x:xf>
    <x:xf numFmtId="0" fontId="0" fillId="6" borderId="3" xfId="0" applyNumberFormat="1" applyFont="1" applyFill="1" applyBorder="1"/>
    <x:xf numFmtId="0" fontId="11" fillId="6" borderId="3" xfId="0" applyNumberFormat="1" applyFont="1" applyFill="1" applyBorder="1"/>
    <x:xf numFmtId="0" fontId="11" fillId="6" borderId="3" xfId="0" applyNumberFormat="1" applyFont="1" applyFill="1" applyBorder="1" applyAlignment="1">
      <x:alignment horizontal="center"/>
    </x:xf>
    <x:xf numFmtId="0" fontId="11" fillId="6" borderId="3" xfId="0" applyNumberFormat="1" applyFont="1" applyFill="1" applyBorder="1" applyAlignment="1">
      <x:alignment horizontal="center" vertical="center"/>
    </x:xf>
    <x:xf numFmtId="0" fontId="12" fillId="6" borderId="0" xfId="0" applyNumberFormat="1" applyFont="1" applyFill="1" applyBorder="1"/>
    <x:xf numFmtId="0" fontId="12" fillId="6" borderId="0" xfId="0" applyNumberFormat="1" applyFont="1" applyFill="1" applyBorder="1" applyAlignment="1">
      <x:alignment horizontal="center"/>
    </x:xf>
    <x:xf numFmtId="0" fontId="12" fillId="6" borderId="0" xfId="0" applyNumberFormat="1" applyFont="1" applyFill="1" applyBorder="1" applyAlignment="1">
      <x:alignment horizontal="center" vertical="center"/>
    </x:xf>
    <x:xf numFmtId="0" fontId="12" fillId="6" borderId="3" xfId="0" applyNumberFormat="1" applyFont="1" applyFill="1" applyBorder="1"/>
    <x:xf numFmtId="0" fontId="12" fillId="6" borderId="3" xfId="0" applyNumberFormat="1" applyFont="1" applyFill="1" applyBorder="1" applyAlignment="1">
      <x:alignment horizontal="center"/>
    </x:xf>
    <x:xf numFmtId="0" fontId="12" fillId="6" borderId="3" xfId="0" applyNumberFormat="1" applyFont="1" applyFill="1" applyBorder="1" applyAlignment="1">
      <x:alignment horizontal="center" vertical="center"/>
    </x:xf>
    <x:xf numFmtId="200" fontId="12" fillId="6" borderId="0" xfId="0" applyNumberFormat="1" applyFont="1" applyFill="1" applyBorder="1" applyAlignment="1">
      <x:alignment horizontal="center" vertical="center"/>
    </x:xf>
    <x:xf numFmtId="200" fontId="12" fillId="6" borderId="3" xfId="0" applyNumberFormat="1" applyFont="1" applyFill="1" applyBorder="1" applyAlignment="1">
      <x:alignment horizontal="center" vertical="center"/>
    </x:xf>
    <x:xf numFmtId="0" fontId="13" fillId="0" borderId="0" xfId="0" applyNumberFormat="1" applyFont="1" applyFill="1" applyBorder="1"/>
    <x:xf numFmtId="0" fontId="14" fillId="0" borderId="0" xfId="0" applyNumberFormat="1" applyFont="1" applyFill="1" applyBorder="1"/>
    <x:xf numFmtId="0" fontId="13" fillId="0" borderId="0" xfId="0" applyNumberFormat="1" applyFont="1" applyFill="1" applyBorder="1" applyAlignment="1">
      <x:alignment horizontal="center"/>
    </x:xf>
    <x:xf numFmtId="0" fontId="14" fillId="0" borderId="0" xfId="0" applyNumberFormat="1" applyFont="1" applyFill="1" applyBorder="1" applyAlignment="1">
      <x:alignment horizontal="center"/>
    </x:xf>
    <x:xf numFmtId="0" fontId="13" fillId="0" borderId="3" xfId="0" applyNumberFormat="1" applyFont="1" applyFill="1" applyBorder="1"/>
    <x:xf numFmtId="0" fontId="14" fillId="0" borderId="3" xfId="0" applyNumberFormat="1" applyFont="1" applyFill="1" applyBorder="1"/>
    <x:xf numFmtId="0" fontId="13" fillId="0" borderId="3" xfId="0" applyNumberFormat="1" applyFont="1" applyFill="1" applyBorder="1" applyAlignment="1">
      <x:alignment horizontal="center"/>
    </x:xf>
    <x:xf numFmtId="0" fontId="14" fillId="0" borderId="3" xfId="0" applyNumberFormat="1" applyFont="1" applyFill="1" applyBorder="1" applyAlignment="1">
      <x:alignment horizontal="center"/>
    </x:xf>
    <x:xf numFmtId="2" fontId="0" fillId="7" borderId="1" xfId="0" applyNumberFormat="1" applyFont="1" applyFill="1" applyBorder="1" applyAlignment="1">
      <x:alignment horizontal="center"/>
    </x:xf>
    <x:xf numFmtId="2" fontId="11" fillId="7" borderId="1" xfId="0" applyNumberFormat="1" applyFont="1" applyFill="1" applyBorder="1" applyAlignment="1">
      <x:alignment horizontal="center"/>
    </x:xf>
    <x:xf numFmtId="2" fontId="11" fillId="7" borderId="1" xfId="0" applyNumberFormat="1" applyFont="1" applyFill="1" applyBorder="1" applyAlignment="1">
      <x:alignment horizontal="center" vertical="center"/>
    </x:xf>
    <x:xf numFmtId="0" fontId="2" fillId="8" borderId="1" xfId="0" applyNumberFormat="1" applyFont="1" applyFill="1" applyBorder="1" applyAlignment="1">
      <x:alignment horizontal="center"/>
    </x:xf>
    <x:xf numFmtId="0" fontId="15" fillId="5" borderId="0" xfId="0" applyNumberFormat="1" applyFont="1" applyFill="1" applyBorder="1"/>
    <x:xf numFmtId="0" fontId="15" fillId="5" borderId="0" xfId="0" applyNumberFormat="1" applyFont="1" applyFill="1" applyBorder="1" applyAlignment="1">
      <x:alignment horizontal="center"/>
    </x:xf>
    <x:xf numFmtId="0" fontId="15" fillId="5" borderId="3" xfId="0" applyNumberFormat="1" applyFont="1" applyFill="1" applyBorder="1"/>
    <x:xf numFmtId="0" fontId="15" fillId="5" borderId="3" xfId="0" applyNumberFormat="1" applyFont="1" applyFill="1" applyBorder="1" applyAlignment="1">
      <x:alignment horizontal="center"/>
    </x:xf>
    <x:xf numFmtId="0" fontId="16" fillId="0" borderId="0" xfId="0" applyNumberFormat="1" applyFont="1" applyFill="1" applyBorder="1"/>
    <x:xf numFmtId="0" fontId="16" fillId="0" borderId="3" xfId="0" applyNumberFormat="1" applyFont="1" applyFill="1" applyBorder="1"/>
    <x:xf numFmtId="200" fontId="0" fillId="0" borderId="0" xfId="0" applyNumberFormat="1" applyFont="1" applyFill="1" applyBorder="1"/>
    <x:xf numFmtId="200" fontId="0" fillId="0" borderId="3" xfId="0" applyNumberFormat="1" applyFont="1" applyFill="1" applyBorder="1"/>
    <x:xf numFmtId="200" fontId="0" fillId="9" borderId="0" xfId="0" applyNumberFormat="1" applyFont="1" applyFill="1" applyBorder="1"/>
    <x:xf numFmtId="200" fontId="0" fillId="9" borderId="0" xfId="0" applyNumberFormat="1" applyFont="1" applyFill="1" applyBorder="1" applyAlignment="1">
      <x:alignment horizontal="center"/>
    </x:xf>
    <x:xf numFmtId="200" fontId="0" fillId="9" borderId="3" xfId="0" applyNumberFormat="1" applyFont="1" applyFill="1" applyBorder="1"/>
    <x:xf numFmtId="200" fontId="0" fillId="9" borderId="3" xfId="0" applyNumberFormat="1" applyFont="1" applyFill="1" applyBorder="1" applyAlignment="1">
      <x:alignment horizontal="center"/>
    </x:xf>
    <x:xf numFmtId="0" fontId="17" fillId="0" borderId="0" xfId="0" applyNumberFormat="1" applyFont="1" applyFill="1" applyBorder="1"/>
    <x:xf numFmtId="0" fontId="17" fillId="0" borderId="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left"/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/>
    <x:xf numFmtId="2" fontId="5" fillId="2" borderId="2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/>
    <x:xf numFmtId="2" fontId="3" fillId="2" borderId="2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 applyAlignment="1">
      <x:alignment horizontal="center"/>
    </x:xf>
    <x:xf numFmtId="0" fontId="10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1" fillId="4" borderId="0" xfId="0" applyNumberFormat="1" applyFont="1" applyFill="1" applyBorder="1"/>
    <x:xf numFmtId="0" fontId="11" fillId="4" borderId="0" xfId="0" applyNumberFormat="1" applyFont="1" applyFill="1" applyBorder="1" applyAlignment="1">
      <x:alignment horizontal="center"/>
    </x:xf>
    <x:xf numFmtId="0" fontId="11" fillId="4" borderId="0" xfId="0" applyNumberFormat="1" applyFont="1" applyFill="1" applyBorder="1" applyAlignment="1">
      <x:alignment horizontal="center" vertical="center"/>
    </x:xf>
    <x:xf numFmtId="0" fontId="12" fillId="4" borderId="0" xfId="0" applyNumberFormat="1" applyFont="1" applyFill="1" applyBorder="1"/>
    <x:xf numFmtId="0" fontId="12" fillId="4" borderId="0" xfId="0" applyNumberFormat="1" applyFont="1" applyFill="1" applyBorder="1" applyAlignment="1">
      <x:alignment horizontal="center"/>
    </x:xf>
    <x:xf numFmtId="0" fontId="12" fillId="4" borderId="0" xfId="0" applyNumberFormat="1" applyFont="1" applyFill="1" applyBorder="1" applyAlignment="1">
      <x:alignment horizontal="center" vertical="center"/>
    </x:xf>
    <x:xf numFmtId="200" fontId="12" fillId="4" borderId="0" xfId="0" applyNumberFormat="1" applyFont="1" applyFill="1" applyBorder="1" applyAlignment="1">
      <x:alignment horizontal="center" vertical="center"/>
    </x:xf>
    <x:xf numFmtId="0" fontId="15" fillId="2" borderId="0" xfId="0" applyNumberFormat="1" applyFont="1" applyFill="1" applyBorder="1"/>
    <x:xf numFmtId="0" fontId="15" fillId="2" borderId="0" xfId="0" applyNumberFormat="1" applyFont="1" applyFill="1" applyBorder="1" applyAlignment="1">
      <x:alignment horizontal="center"/>
    </x:xf>
    <x:xf numFmtId="0" fontId="2" fillId="10" borderId="1" xfId="0" applyNumberFormat="1" applyFont="1" applyFill="1" applyBorder="1" applyAlignment="1">
      <x:alignment horizontal="center"/>
    </x:xf>
    <x:xf numFmtId="0" fontId="2" fillId="10" borderId="1" xfId="0" applyNumberFormat="1" applyFont="1" applyFill="1" applyBorder="1" applyAlignment="1">
      <x:alignment horizontal="center" vertical="center"/>
    </x:xf>
    <x:xf numFmtId="0" fontId="3" fillId="11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15" fillId="11" borderId="0" xfId="0" applyNumberFormat="1" applyFont="1" applyFill="1" applyBorder="1"/>
    <x:xf numFmtId="0" fontId="15" fillId="11" borderId="0" xfId="0" applyNumberFormat="1" applyFont="1" applyFill="1" applyBorder="1" applyAlignment="1">
      <x:alignment horizontal="center"/>
    </x:xf>
    <x:xf numFmtId="0" fontId="3" fillId="11" borderId="0" xfId="0" applyNumberFormat="1" applyFont="1" applyFill="1" applyBorder="1" applyAlignment="1">
      <x:alignment horizontal="center" vertical="center"/>
    </x:xf>
    <x:xf numFmtId="0" fontId="15" fillId="11" borderId="0" xfId="0" applyNumberFormat="1" applyFont="1" applyFill="1" applyBorder="1" applyAlignment="1">
      <x:alignment horizontal="center" vertical="center"/>
    </x:xf>
    <x:xf numFmtId="0" fontId="2" fillId="11" borderId="0" xfId="0" applyNumberFormat="1" applyFont="1" applyFill="1" applyBorder="1" applyAlignment="1">
      <x:alignment horizontal="center"/>
    </x:xf>
    <x:xf numFmtId="0" fontId="2" fillId="11" borderId="0" xfId="0" applyNumberFormat="1" applyFont="1" applyFill="1" applyBorder="1" applyAlignment="1">
      <x:alignment horizontal="center" vertical="center"/>
    </x:xf>
    <x:xf numFmtId="0" fontId="7" fillId="11" borderId="0" xfId="0" applyNumberFormat="1" applyFont="1" applyFill="1" applyBorder="1" applyAlignment="1">
      <x:alignment horizontal="left"/>
    </x:xf>
    <x:xf numFmtId="0" fontId="18" fillId="11" borderId="0" xfId="0" applyNumberFormat="1" applyFont="1" applyFill="1" applyBorder="1" applyAlignment="1">
      <x:alignment horizontal="left"/>
    </x:xf>
    <x:xf numFmtId="0" fontId="18" fillId="11" borderId="0" xfId="0" applyNumberFormat="1" applyFont="1" applyFill="1" applyBorder="1" applyAlignment="1">
      <x:alignment horizontal="center"/>
    </x:xf>
    <x:xf numFmtId="0" fontId="18" fillId="11" borderId="0" xfId="0" applyNumberFormat="1" applyFont="1" applyFill="1" applyBorder="1" applyAlignment="1">
      <x:alignment horizontal="center" vertical="center"/>
    </x:xf>
    <x:xf numFmtId="2" fontId="11" fillId="12" borderId="1" xfId="0" applyNumberFormat="1" applyFont="1" applyFill="1" applyBorder="1" applyAlignment="1">
      <x:alignment horizontal="center" vertical="center"/>
    </x:xf>
    <x:xf numFmtId="2" fontId="0" fillId="13" borderId="1" xfId="0" applyNumberFormat="1" applyFont="1" applyFill="1" applyBorder="1" applyAlignment="1">
      <x:alignment horizontal="center"/>
    </x:xf>
    <x:xf numFmtId="2" fontId="11" fillId="13" borderId="1" xfId="0" applyNumberFormat="1" applyFont="1" applyFill="1" applyBorder="1" applyAlignment="1">
      <x:alignment horizontal="center"/>
    </x:xf>
    <x:xf numFmtId="2" fontId="11" fillId="13" borderId="1" xfId="0" applyNumberFormat="1" applyFont="1" applyFill="1" applyBorder="1" applyAlignment="1">
      <x:alignment horizontal="center" vertical="center"/>
    </x:xf>
    <x:xf numFmtId="2" fontId="0" fillId="14" borderId="1" xfId="0" applyNumberFormat="1" applyFont="1" applyFill="1" applyBorder="1" applyAlignment="1">
      <x:alignment horizontal="center"/>
    </x:xf>
    <x:xf numFmtId="2" fontId="19" fillId="14" borderId="1" xfId="0" applyNumberFormat="1" applyFont="1" applyFill="1" applyBorder="1" applyAlignment="1">
      <x:alignment horizontal="center"/>
    </x:xf>
    <x:xf numFmtId="0" fontId="0" fillId="14" borderId="0" xfId="0" applyNumberFormat="1" applyFont="1" applyFill="1" applyBorder="1"/>
    <x:xf numFmtId="0" fontId="20" fillId="14" borderId="0" xfId="0" applyNumberFormat="1" applyFont="1" applyFill="1" applyBorder="1"/>
    <x:xf numFmtId="0" fontId="20" fillId="14" borderId="0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11" fillId="13" borderId="0" xfId="0" applyNumberFormat="1" applyFont="1" applyFill="1" applyBorder="1"/>
    <x:xf numFmtId="0" fontId="11" fillId="13" borderId="0" xfId="0" applyNumberFormat="1" applyFont="1" applyFill="1" applyBorder="1" applyAlignment="1">
      <x:alignment horizontal="center"/>
    </x:xf>
    <x:xf numFmtId="0" fontId="14" fillId="0" borderId="0" xfId="0" applyNumberFormat="1" applyFont="1" applyFill="1" applyBorder="1" applyAlignment="1">
      <x:alignment horizontal="left"/>
    </x:xf>
    <x:xf numFmtId="0" fontId="14" fillId="0" borderId="0" xfId="0" applyNumberFormat="1" applyFont="1" applyFill="1" applyBorder="1" applyAlignment="1">
      <x:alignment horizontal="left" wrapText="1"/>
    </x:xf>
    <x:xf numFmtId="0" fontId="13" fillId="0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horizontal="center" wrapText="1"/>
    </x:xf>
    <x:xf numFmtId="0" fontId="13" fillId="0" borderId="0" xfId="0" applyNumberFormat="1" applyFont="1" applyFill="1" applyBorder="1" applyAlignment="1">
      <x:alignment horizontal="center" wrapText="1"/>
    </x:xf>
    <x:xf numFmtId="200" fontId="19" fillId="14" borderId="1" xfId="0" applyNumberFormat="1" applyFont="1" applyFill="1" applyBorder="1" applyAlignment="1">
      <x:alignment horizontal="center"/>
    </x:xf>
    <x:xf numFmtId="200" fontId="20" fillId="14" borderId="0" xfId="0" applyNumberFormat="1" applyFont="1" applyFill="1" applyBorder="1" applyAlignment="1">
      <x:alignment horizontal="center"/>
    </x:xf>
    <x:xf numFmtId="0" fontId="3" fillId="11" borderId="0" xfId="0" applyNumberFormat="1" applyFont="1" applyFill="1" applyBorder="1" applyAlignment="1">
      <x:alignment horizontal="center" vertical="center" wrapText="1"/>
    </x:xf>
    <x:xf numFmtId="0" fontId="15" fillId="11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0" fillId="2" borderId="0" xfId="0" applyNumberFormat="1" applyFont="1" applyFill="1" applyBorder="1" applyAlignment="1">
      <x:alignment horizontal="center" vertical="center" wrapText="1"/>
    </x:xf>
    <x:xf numFmtId="2" fontId="3" fillId="2" borderId="2" xfId="0" applyNumberFormat="1" applyFont="1" applyFill="1" applyBorder="1" applyAlignment="1">
      <x:alignment horizontal="center" vertical="center" wrapText="1"/>
    </x:xf>
    <x:xf numFmtId="0" fontId="11" fillId="4" borderId="0" xfId="0" applyNumberFormat="1" applyFont="1" applyFill="1" applyBorder="1" applyAlignment="1">
      <x:alignment horizontal="center" vertical="center" wrapText="1"/>
    </x:xf>
    <x:xf numFmtId="200" fontId="12" fillId="4" borderId="0" xfId="0" applyNumberFormat="1" applyFont="1" applyFill="1" applyBorder="1" applyAlignment="1">
      <x:alignment horizontal="center" vertical="center" wrapText="1"/>
    </x:xf>
    <x:xf numFmtId="0" fontId="17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/>
    </x:xf>
    <x:xf numFmtId="0" fontId="15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 applyAlignment="1">
      <x:alignment horizontal="left"/>
    </x:xf>
    <x:xf numFmtId="0" fontId="18" fillId="2" borderId="0" xfId="0" applyNumberFormat="1" applyFont="1" applyFill="1" applyBorder="1" applyAlignment="1">
      <x:alignment horizontal="left"/>
    </x:xf>
    <x:xf numFmtId="0" fontId="18" fillId="2" borderId="0" xfId="0" applyNumberFormat="1" applyFont="1" applyFill="1" applyBorder="1" applyAlignment="1">
      <x:alignment horizontal="center"/>
    </x:xf>
    <x:xf numFmtId="0" fontId="18" fillId="2" borderId="0" xfId="0" applyNumberFormat="1" applyFont="1" applyFill="1" applyBorder="1" applyAlignment="1">
      <x:alignment horizontal="center" vertical="center"/>
    </x:xf>
    <x:xf numFmtId="2" fontId="0" fillId="4" borderId="1" xfId="0" applyNumberFormat="1" applyFont="1" applyFill="1" applyBorder="1" applyAlignment="1">
      <x:alignment horizontal="center"/>
    </x:xf>
    <x:xf numFmtId="2" fontId="19" fillId="4" borderId="1" xfId="0" applyNumberFormat="1" applyFont="1" applyFill="1" applyBorder="1" applyAlignment="1">
      <x:alignment horizontal="center"/>
    </x:xf>
    <x:xf numFmtId="0" fontId="20" fillId="4" borderId="0" xfId="0" applyNumberFormat="1" applyFont="1" applyFill="1" applyBorder="1"/>
    <x:xf numFmtId="0" fontId="20" fillId="4" borderId="0" xfId="0" applyNumberFormat="1" applyFont="1" applyFill="1" applyBorder="1" applyAlignment="1">
      <x:alignment horizontal="center"/>
    </x:xf>
    <x:xf numFmtId="200" fontId="19" fillId="4" borderId="1" xfId="0" applyNumberFormat="1" applyFont="1" applyFill="1" applyBorder="1" applyAlignment="1">
      <x:alignment horizontal="center"/>
    </x:xf>
    <x:xf numFmtId="200" fontId="20" fillId="4" borderId="0" xfId="0" applyNumberFormat="1" applyFont="1" applyFill="1" applyBorder="1" applyAlignment="1">
      <x:alignment horizontal="center"/>
    </x:xf>
    <x:xf numFmtId="0" fontId="15" fillId="2" borderId="0" xfId="0" applyNumberFormat="1" applyFont="1" applyFill="1" applyBorder="1" applyAlignment="1">
      <x:alignment horizontal="center" vertical="center" wrapText="1"/>
    </x:xf>
    <x:xf numFmtId="201" fontId="19" fillId="4" borderId="1" xfId="0" applyNumberFormat="1" applyFont="1" applyFill="1" applyBorder="1" applyAlignment="1">
      <x:alignment horizontal="center"/>
    </x:xf>
    <x:xf numFmtId="201" fontId="20" fillId="4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010bb1dc3b4ae0" /><Relationship Type="http://schemas.openxmlformats.org/officeDocument/2006/relationships/theme" Target="/xl/theme/theme1.xml" Id="R0f7afc888ea4460d" /><Relationship Type="http://schemas.openxmlformats.org/officeDocument/2006/relationships/sharedStrings" Target="/xl/sharedStrings.xml" Id="R2778d78cfb29463c" /><Relationship Type="http://schemas.openxmlformats.org/officeDocument/2006/relationships/worksheet" Target="/xl/worksheets/sheet1.xml" Id="R6f5b2f01efbf4cf8" /><Relationship Type="http://schemas.openxmlformats.org/officeDocument/2006/relationships/worksheet" Target="/xl/worksheets/sheet2.xml" Id="R066e3f6e3778467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5" hidden="0" customWidth="1"/>
    <x:col min="2" max="2" width="25" hidden="0" customWidth="1"/>
    <x:col min="3" max="3" width="16" hidden="0" customWidth="1"/>
    <x:col min="4" max="4" width="37" hidden="0" customWidth="1"/>
  </x:cols>
  <x:sheetData>
    <x:row r="1" ht="30" customHeight="1">
      <x:c r="A1" s="1" t="inlineStr">
        <x:is>
          <x:t xml:space="preserve">WARDOGS — CALCULADORA DE MORTEIRO v1</x:t>
        </x:is>
      </x:c>
    </x:row>
    <x:row r="3">
      <x:c r="A3" s="112" t="str">
        <x:v>ENTRADA RÁPIDA</x:v>
      </x:c>
      <x:c r="B3" s="112" t="str">
        <x:v>MINHA POSIÇÃO</x:v>
      </x:c>
      <x:c r="C3" s="112" t="str">
        <x:v>ALVO</x:v>
      </x:c>
      <x:c r="D3" s="112" t="str">
        <x:v>STATUS</x:v>
      </x:c>
      <x:c r="F3" s="69" t="str">
        <x:v>DADOS AUTOMÁTICOS</x:v>
      </x:c>
      <x:c r="G3" s="69" t="str">
        <x:v>MINHA POSIÇÃO</x:v>
      </x:c>
      <x:c r="H3" s="69" t="str">
        <x:v>ALVO</x:v>
      </x:c>
      <x:c r="I3" s="69" t="str">
        <x:v>DIFERENÇA</x:v>
      </x:c>
    </x:row>
    <x:row r="4">
      <x:c r="A4" s="3" t="str">
        <x:v>COORDENADA</x:v>
      </x:c>
      <x:c r="B4" s="125" t="str">
        <x:v>x98.43, y110.38</x:v>
      </x:c>
      <x:c r="C4" s="125" t="str">
        <x:v>x94.53, y109.03</x:v>
      </x:c>
      <x:c r="D4" s="128" t="str">
        <x:f>IF(D5&lt;B8,"OUT OF RANGE — MUITO PERTO",IF(D5&gt;B9,"OUT OF RANGE — MUITO LONGE","IN RANGE"))</x:f>
        <x:v>IN RANGE</x:v>
      </x:c>
      <x:c r="F4" s="72" t="str">
        <x:v>X</x:v>
      </x:c>
      <x:c r="G4" s="74" t="n">
        <x:f>VALUE(MID(B4,2,FIND(",",B4)-2))</x:f>
        <x:v>98.43</x:v>
      </x:c>
      <x:c r="H4" s="74" t="n">
        <x:f>VALUE(MID(C4,2,FIND(",",C4)-2))</x:f>
        <x:v>94.53</x:v>
      </x:c>
      <x:c r="I4" s="77" t="n">
        <x:f>ABS(G4-H4)</x:f>
        <x:v>3.9000000000000057</x:v>
      </x:c>
    </x:row>
    <x:row r="5">
      <x:c r="A5" s="3" t="str">
        <x:v>DISTÂNCIA (METROS)</x:v>
      </x:c>
      <x:c r="B5" s="4" t="str"/>
      <x:c r="C5" s="4" t="str"/>
      <x:c r="D5" s="166" t="n">
        <x:f>SQRT((G4-H4)^2+(G5-H5)^2)*100</x:f>
        <x:v>412.7044947659285</x:v>
      </x:c>
      <x:c r="F5" s="72" t="str">
        <x:v>Y</x:v>
      </x:c>
      <x:c r="G5" s="74" t="n">
        <x:f>VALUE(TRIM(MID(B4,FIND("y",B4)+1,99)))</x:f>
        <x:v>110.38</x:v>
      </x:c>
      <x:c r="H5" s="74" t="n">
        <x:f>VALUE(TRIM(MID(C4,FIND("y",C4)+1,99)))</x:f>
        <x:v>109.03</x:v>
      </x:c>
      <x:c r="I5" s="77" t="n">
        <x:f>ABS(G5-H5)</x:f>
        <x:v>1.3499999999999943</x:v>
      </x:c>
    </x:row>
    <x:row r="6">
      <x:c r="F6" s="72" t="str">
        <x:v>C</x:v>
      </x:c>
      <x:c r="G6" t="str"/>
      <x:c r="H6" t="str"/>
      <x:c r="I6" t="str"/>
    </x:row>
    <x:row r="7">
      <x:c r="A7" s="144" t="str">
        <x:v>LIMITES DO MORTEIRO</x:v>
      </x:c>
      <x:c r="B7" s="145" t="str">
        <x:v>VALOR</x:v>
      </x:c>
      <x:c r="C7" s="145" t="str">
        <x:v>UNIDADE</x:v>
      </x:c>
      <x:c r="D7" s="145" t="str">
        <x:v>OBSERVAÇÃO</x:v>
      </x:c>
    </x:row>
    <x:row r="8">
      <x:c r="A8" s="146" t="str">
        <x:v>Alcance mínimo usado</x:v>
      </x:c>
      <x:c r="B8" s="147" t="n">
        <x:v>50</x:v>
      </x:c>
      <x:c r="C8" s="147" t="str">
        <x:v>m</x:v>
      </x:c>
      <x:c r="D8" s="148" t="str">
        <x:v>Editável: algumas tabelas indicam até 132 m</x:v>
      </x:c>
    </x:row>
    <x:row r="9">
      <x:c r="A9" s="149" t="str">
        <x:v>Alcance máximo plano</x:v>
      </x:c>
      <x:c r="B9" s="149" t="n">
        <x:v>685</x:v>
      </x:c>
      <x:c r="C9" s="149" t="str">
        <x:v>m</x:v>
      </x:c>
      <x:c r="D9" s="150" t="str">
        <x:v>Referência aproximada: 684–685 m</x:v>
      </x:c>
    </x:row>
    <x:row r="10">
      <x:c r="A10" s="141" t="str">
        <x:v>Faixa por altitude</x:v>
      </x:c>
      <x:c r="B10" s="140" t="str">
        <x:v>625–735</x:v>
      </x:c>
      <x:c r="C10" s="141" t="str">
        <x:v>m</x:v>
      </x:c>
      <x:c r="D10" s="141" t="str">
        <x:v>≈625 m a +100 m / ≈735 m a −100 m</x:v>
      </x:c>
    </x:row>
    <x:row r="12">
      <x:c r="A12" s="120" t="str">
        <x:v>DISTÂNCIA CALCULADA (METROS)</x:v>
      </x:c>
      <x:c r="B12" s="118"/>
      <x:c r="C12" s="118"/>
      <x:c r="D12" s="167" t="n">
        <x:f>D5</x:f>
        <x:v>412.7044947659285</x:v>
      </x:c>
    </x:row>
    <x:row r="13">
      <x:c r="A13" s="124" t="str">
        <x:v>INDICADOR</x:v>
      </x:c>
      <x:c r="B13" s="118"/>
      <x:c r="C13" s="118"/>
      <x:c r="D13" s="136" t="str">
        <x:f>D4</x:f>
        <x:v>IN RANGE</x:v>
      </x:c>
    </x:row>
    <x:row r="14">
      <x:c r="A14" s="140" t="str">
        <x:v>O indicador usa os limites configuráveis acima. Ajuste mínimo/máximo se necessário.</x:v>
      </x:c>
      <x:c r="B14" s="141"/>
      <x:c r="C14" s="141"/>
      <x:c r="D14" s="141"/>
    </x:row>
    <x:row r="15">
      <x:c r="A15" s="10"/>
    </x:row>
    <x:row r="16">
      <x:c r="A16" s="10"/>
    </x:row>
    <x:row r="17">
      <x:c r="A17" s="10"/>
    </x:row>
  </x:sheetData>
  <x:mergeCells>
    <x:mergeCell ref="B10:D10"/>
    <x:mergeCell ref="A1:D1"/>
    <x:mergeCell ref="A17:D17"/>
    <x:mergeCell ref="A12:D12"/>
    <x:mergeCell ref="A8:C9"/>
    <x:mergeCell ref="A15:D15"/>
    <x:mergeCell ref="A7:D7"/>
    <x:mergeCell ref="A16:D16"/>
    <x:mergeCell ref="A13:D13"/>
    <x:mergeCell ref="A14:D14"/>
    <x:mergeCell ref="A8:D8"/>
    <x:mergeCell ref="A9:C9"/>
    <x:mergeCell ref="A10:D10"/>
    <x:mergeCell ref="A12:C12"/>
    <x:mergeCell ref="A13:C13"/>
  </x:mergeCells>
  <x:conditionalFormatting sqref="D4:D4">
    <x:cfRule type="expression" dxfId="0" priority="1">
      <x:formula>LEFT(D4,12)="OUT OF RANGE"</x:formula>
    </x:cfRule>
    <x:cfRule type="expression" dxfId="1" priority="2">
      <x:formula>D4="IN RANGE"</x:formula>
    </x:cfRule>
  </x:conditionalFormatting>
  <x:conditionalFormatting sqref="D13:D13">
    <x:cfRule type="expression" dxfId="2" priority="3">
      <x:formula>LEFT(D13,12)="OUT OF RANGE"</x:formula>
    </x:cfRule>
    <x:cfRule type="expression" dxfId="3" priority="4">
      <x:formula>D13="IN RANGE"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95" hidden="0" customWidth="1"/>
  </x:cols>
  <x:sheetData>
    <x:row r="1">
      <x:c r="A1" s="11" t="inlineStr">
        <x:is>
          <x:t xml:space="preserve">WARDOGS — Calculadora de Morteiro</x:t>
        </x:is>
      </x:c>
    </x:row>
    <x:row r="3">
      <x:c r="A3" s="151" t="str">
        <x:v>WARDOGS — Calculadora v4</x:v>
      </x:c>
    </x:row>
    <x:row r="4" ht="24" customHeight="1">
      <x:c r="A4" s="82" t="str">
        <x:v>1. Cole sua coordenada completa em B4.</x:v>
      </x:c>
    </x:row>
    <x:row r="5" ht="24" customHeight="1">
      <x:c r="A5" s="82" t="str">
        <x:v>2. Cole a coordenada completa do alvo em C4.</x:v>
      </x:c>
    </x:row>
    <x:row r="6" ht="24" customHeight="1">
      <x:c r="A6" s="83" t="str">
        <x:v>3. A planilha separa X/Y e calcula a distância pelo teorema de Pitágoras.</x:v>
      </x:c>
    </x:row>
    <x:row r="7" ht="24" customHeight="1">
      <x:c r="A7" s="82" t="str">
        <x:v>4. Conversão usada: 1 unidade de coordenada do mapa = 100 metros.</x:v>
      </x:c>
    </x:row>
    <x:row r="8" ht="24" customHeight="1">
      <x:c r="A8" s="82" t="str">
        <x:v>5. Exemplo: C = 4,127 unidades → 412,7 m → exibido como 413 m.</x:v>
      </x:c>
    </x:row>
    <x:row r="9" ht="24" customHeight="1">
      <x:c r="A9" s="82" t="str">
        <x:v>6. O STATUS compara a distância já convertida em metros.</x:v>
      </x:c>
    </x:row>
    <x:row r="10">
      <x:c r="A10" s="82" t="str">
        <x:v>7. IN RANGE = distância entre o mínimo e máximo configurados.</x:v>
      </x:c>
    </x:row>
    <x:row r="11">
      <x:c r="A11" s="82" t="str">
        <x:v>8. OUT OF RANGE — MUITO PERTO = abaixo do alcance mínimo.</x:v>
      </x:c>
    </x:row>
    <x:row r="12">
      <x:c r="A12" s="82" t="str">
        <x:v>9. OUT OF RANGE — MUITO LONGE = acima do alcance máximo.</x:v>
      </x:c>
    </x:row>
    <x:row r="13">
      <x:c r="A13" s="82" t="str">
        <x:v>10. Limites atuais: mínimo 50 m e máximo plano 685 m; ambos continuam editáveis.</x:v>
      </x:c>
    </x:row>
  </x:sheetData>
  <x:pageMargins left="0.7" right="0.7" top="0.75" bottom="0.75" header="0.3" footer="0.3"/>
</x:worksheet>
</file>